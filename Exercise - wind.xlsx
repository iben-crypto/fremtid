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 1" sheetId="1" r:id="rId4"/>
    <sheet state="visible" name="Exercise 2" sheetId="2" r:id="rId5"/>
    <sheet state="visible" name="Exercise 3" sheetId="3" r:id="rId6"/>
  </sheets>
  <definedNames/>
  <calcPr/>
</workbook>
</file>

<file path=xl/sharedStrings.xml><?xml version="1.0" encoding="utf-8"?>
<sst xmlns="http://schemas.openxmlformats.org/spreadsheetml/2006/main" count="23" uniqueCount="22">
  <si>
    <t>k</t>
  </si>
  <si>
    <t>lambda</t>
  </si>
  <si>
    <t>u [m/s]</t>
  </si>
  <si>
    <t>f [-]</t>
  </si>
  <si>
    <t>P_wind [W/m2]</t>
  </si>
  <si>
    <t>Mean wind speed [m/s]</t>
  </si>
  <si>
    <t>m/s</t>
  </si>
  <si>
    <t>Mean power density</t>
  </si>
  <si>
    <t>W/m^2</t>
  </si>
  <si>
    <t>rho_air [kg/m3]</t>
  </si>
  <si>
    <t>D [m]</t>
  </si>
  <si>
    <t>P [kW]</t>
  </si>
  <si>
    <t>P_wind [kW]</t>
  </si>
  <si>
    <t>C_p [-]</t>
  </si>
  <si>
    <t>Max. Cp</t>
  </si>
  <si>
    <t>P_t [kW]</t>
  </si>
  <si>
    <t>P_t [kW] x f [-]</t>
  </si>
  <si>
    <t>P_average</t>
  </si>
  <si>
    <t>kW</t>
  </si>
  <si>
    <t>CF</t>
  </si>
  <si>
    <t>AEP</t>
  </si>
  <si>
    <t>GWh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</si>
</sst>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1" xfId="0" applyFont="1" applyNumberFormat="1"/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 [-] vs. u [m/s]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'Exercise 1'!$B$4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'Exercise 1'!$A$5:$A$32</c:f>
            </c:strRef>
          </c:cat>
          <c:val>
            <c:numRef>
              <c:f>'Exercise 1'!$B$5:$B$32</c:f>
              <c:numCache/>
            </c:numRef>
          </c:val>
          <c:smooth val="0"/>
        </c:ser>
        <c:axId val="1198092824"/>
        <c:axId val="803499955"/>
      </c:lineChart>
      <c:catAx>
        <c:axId val="1198092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499955"/>
      </c:catAx>
      <c:valAx>
        <c:axId val="803499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 [-]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092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'Exercise 2'!$B$4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'Exercise 2'!$A$5:$A$53</c:f>
            </c:strRef>
          </c:cat>
          <c:val>
            <c:numRef>
              <c:f>'Exercise 2'!$B$5:$B$53</c:f>
              <c:numCache/>
            </c:numRef>
          </c:val>
          <c:smooth val="1"/>
        </c:ser>
        <c:axId val="1638660823"/>
        <c:axId val="349983059"/>
      </c:lineChart>
      <c:catAx>
        <c:axId val="1638660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983059"/>
      </c:catAx>
      <c:valAx>
        <c:axId val="349983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 [kW]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660823"/>
      </c:valAx>
      <c:lineChart>
        <c:varyColors val="0"/>
        <c:ser>
          <c:idx val="1"/>
          <c:order val="1"/>
          <c:tx>
            <c:strRef>
              <c:f>'Exercise 2'!$D$4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'Exercise 2'!$A$5:$A$53</c:f>
            </c:strRef>
          </c:cat>
          <c:val>
            <c:numRef>
              <c:f>'Exercise 2'!$D$5:$D$53</c:f>
              <c:numCache/>
            </c:numRef>
          </c:val>
          <c:smooth val="1"/>
        </c:ser>
        <c:axId val="1597436138"/>
        <c:axId val="215444877"/>
      </c:lineChart>
      <c:catAx>
        <c:axId val="15974361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444877"/>
      </c:catAx>
      <c:valAx>
        <c:axId val="21544487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 coeff. [-]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4361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6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5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</cols>
  <sheetData>
    <row r="1">
      <c r="A1" s="1" t="s">
        <v>0</v>
      </c>
      <c r="B1" s="1">
        <v>2.0</v>
      </c>
    </row>
    <row r="2">
      <c r="A2" s="1" t="s">
        <v>1</v>
      </c>
      <c r="B2" s="1">
        <v>11.0</v>
      </c>
    </row>
    <row r="4">
      <c r="A4" s="1" t="s">
        <v>2</v>
      </c>
      <c r="B4" s="1" t="s">
        <v>3</v>
      </c>
      <c r="C4" s="1" t="s">
        <v>4</v>
      </c>
      <c r="E4" s="1" t="s">
        <v>5</v>
      </c>
      <c r="F4" s="2">
        <f>IFERROR(__xludf.DUMMYFUNCTION("AVERAGE.WEIGHTED(A5:A32,B5:B32)"),9.723852566421966)</f>
        <v>9.723852566</v>
      </c>
      <c r="G4" s="1" t="s">
        <v>6</v>
      </c>
    </row>
    <row r="5">
      <c r="A5" s="1">
        <v>0.0</v>
      </c>
      <c r="B5" s="3">
        <f t="shared" ref="B5:B32" si="1">WEIBULL(A5,B$1,B$2,FALSE)</f>
        <v>0</v>
      </c>
      <c r="C5" s="3">
        <f t="shared" ref="C5:C32" si="2">0.5*1.225*A5^3</f>
        <v>0</v>
      </c>
      <c r="E5" s="1" t="s">
        <v>7</v>
      </c>
      <c r="F5" s="2">
        <f>IFERROR(__xludf.DUMMYFUNCTION("AVERAGE.WEIGHTED(C5:C32,B5:B32)"),1056.4185781791402)</f>
        <v>1056.418578</v>
      </c>
      <c r="G5" s="1" t="s">
        <v>8</v>
      </c>
    </row>
    <row r="6">
      <c r="A6" s="1">
        <v>1.0</v>
      </c>
      <c r="B6" s="3">
        <f t="shared" si="1"/>
        <v>0.01639288585</v>
      </c>
      <c r="C6" s="3">
        <f t="shared" si="2"/>
        <v>0.6125</v>
      </c>
    </row>
    <row r="7">
      <c r="A7" s="1">
        <v>2.0</v>
      </c>
      <c r="B7" s="3">
        <f t="shared" si="1"/>
        <v>0.03198289547</v>
      </c>
      <c r="C7" s="3">
        <f t="shared" si="2"/>
        <v>4.9</v>
      </c>
    </row>
    <row r="8">
      <c r="A8" s="1">
        <v>3.0</v>
      </c>
      <c r="B8" s="3">
        <f t="shared" si="1"/>
        <v>0.04603233284</v>
      </c>
      <c r="C8" s="3">
        <f t="shared" si="2"/>
        <v>16.5375</v>
      </c>
    </row>
    <row r="9">
      <c r="A9" s="1">
        <v>4.0</v>
      </c>
      <c r="B9" s="3">
        <f t="shared" si="1"/>
        <v>0.05792649447</v>
      </c>
      <c r="C9" s="3">
        <f t="shared" si="2"/>
        <v>39.2</v>
      </c>
    </row>
    <row r="10">
      <c r="A10" s="1">
        <v>5.0</v>
      </c>
      <c r="B10" s="3">
        <f t="shared" si="1"/>
        <v>0.06721781094</v>
      </c>
      <c r="C10" s="3">
        <f t="shared" si="2"/>
        <v>76.5625</v>
      </c>
    </row>
    <row r="11">
      <c r="A11" s="1">
        <v>6.0</v>
      </c>
      <c r="B11" s="3">
        <f t="shared" si="1"/>
        <v>0.07365195758</v>
      </c>
      <c r="C11" s="3">
        <f t="shared" si="2"/>
        <v>132.3</v>
      </c>
    </row>
    <row r="12">
      <c r="A12" s="1">
        <v>7.0</v>
      </c>
      <c r="B12" s="3">
        <f t="shared" si="1"/>
        <v>0.07717405962</v>
      </c>
      <c r="C12" s="3">
        <f t="shared" si="2"/>
        <v>210.0875</v>
      </c>
    </row>
    <row r="13">
      <c r="A13" s="1">
        <v>8.0</v>
      </c>
      <c r="B13" s="3">
        <f t="shared" si="1"/>
        <v>0.07791572827</v>
      </c>
      <c r="C13" s="3">
        <f t="shared" si="2"/>
        <v>313.6</v>
      </c>
    </row>
    <row r="14">
      <c r="A14" s="1">
        <v>9.0</v>
      </c>
      <c r="B14" s="3">
        <f t="shared" si="1"/>
        <v>0.07616598742</v>
      </c>
      <c r="C14" s="3">
        <f t="shared" si="2"/>
        <v>446.5125</v>
      </c>
    </row>
    <row r="15">
      <c r="A15" s="1">
        <v>10.0</v>
      </c>
      <c r="B15" s="3">
        <f t="shared" si="1"/>
        <v>0.07233084953</v>
      </c>
      <c r="C15" s="3">
        <f t="shared" si="2"/>
        <v>612.5</v>
      </c>
    </row>
    <row r="16">
      <c r="A16" s="1">
        <v>11.0</v>
      </c>
      <c r="B16" s="3">
        <f t="shared" si="1"/>
        <v>0.06688717112</v>
      </c>
      <c r="C16" s="3">
        <f t="shared" si="2"/>
        <v>815.2375</v>
      </c>
    </row>
    <row r="17">
      <c r="A17" s="1">
        <v>12.0</v>
      </c>
      <c r="B17" s="3">
        <f t="shared" si="1"/>
        <v>0.06033642106</v>
      </c>
      <c r="C17" s="3">
        <f t="shared" si="2"/>
        <v>1058.4</v>
      </c>
    </row>
    <row r="18">
      <c r="A18" s="1">
        <v>13.0</v>
      </c>
      <c r="B18" s="3">
        <f t="shared" si="1"/>
        <v>0.05316323343</v>
      </c>
      <c r="C18" s="3">
        <f t="shared" si="2"/>
        <v>1345.6625</v>
      </c>
    </row>
    <row r="19">
      <c r="A19" s="1">
        <v>14.0</v>
      </c>
      <c r="B19" s="3">
        <f t="shared" si="1"/>
        <v>0.04580231029</v>
      </c>
      <c r="C19" s="3">
        <f t="shared" si="2"/>
        <v>1680.7</v>
      </c>
    </row>
    <row r="20">
      <c r="A20" s="1">
        <v>15.0</v>
      </c>
      <c r="B20" s="3">
        <f t="shared" si="1"/>
        <v>0.03861566344</v>
      </c>
      <c r="C20" s="3">
        <f t="shared" si="2"/>
        <v>2067.1875</v>
      </c>
    </row>
    <row r="21">
      <c r="A21" s="1">
        <v>16.0</v>
      </c>
      <c r="B21" s="3">
        <f t="shared" si="1"/>
        <v>0.03188061538</v>
      </c>
      <c r="C21" s="3">
        <f t="shared" si="2"/>
        <v>2508.8</v>
      </c>
    </row>
    <row r="22">
      <c r="A22" s="1">
        <v>17.0</v>
      </c>
      <c r="B22" s="3">
        <f t="shared" si="1"/>
        <v>0.02578764512</v>
      </c>
      <c r="C22" s="3">
        <f t="shared" si="2"/>
        <v>3009.2125</v>
      </c>
    </row>
    <row r="23">
      <c r="A23" s="1">
        <v>18.0</v>
      </c>
      <c r="B23" s="3">
        <f t="shared" si="1"/>
        <v>0.02044621381</v>
      </c>
      <c r="C23" s="3">
        <f t="shared" si="2"/>
        <v>3572.1</v>
      </c>
    </row>
    <row r="24">
      <c r="A24" s="1">
        <v>19.0</v>
      </c>
      <c r="B24" s="3">
        <f t="shared" si="1"/>
        <v>0.01589619574</v>
      </c>
      <c r="C24" s="3">
        <f t="shared" si="2"/>
        <v>4201.1375</v>
      </c>
    </row>
    <row r="25">
      <c r="A25" s="1">
        <v>20.0</v>
      </c>
      <c r="B25" s="3">
        <f t="shared" si="1"/>
        <v>0.01212244949</v>
      </c>
      <c r="C25" s="3">
        <f t="shared" si="2"/>
        <v>4900</v>
      </c>
    </row>
    <row r="26">
      <c r="A26" s="1">
        <v>21.0</v>
      </c>
      <c r="B26" s="3">
        <f t="shared" si="1"/>
        <v>0.00907030828</v>
      </c>
      <c r="C26" s="3">
        <f t="shared" si="2"/>
        <v>5672.3625</v>
      </c>
    </row>
    <row r="27">
      <c r="A27" s="1">
        <v>22.0</v>
      </c>
      <c r="B27" s="3">
        <f t="shared" si="1"/>
        <v>0.006660232323</v>
      </c>
      <c r="C27" s="3">
        <f t="shared" si="2"/>
        <v>6521.9</v>
      </c>
    </row>
    <row r="28">
      <c r="A28" s="1">
        <v>23.0</v>
      </c>
      <c r="B28" s="3">
        <f t="shared" si="1"/>
        <v>0.00480042907</v>
      </c>
      <c r="C28" s="3">
        <f t="shared" si="2"/>
        <v>7452.2875</v>
      </c>
    </row>
    <row r="29">
      <c r="A29" s="1">
        <v>24.0</v>
      </c>
      <c r="B29" s="3">
        <f t="shared" si="1"/>
        <v>0.003396804599</v>
      </c>
      <c r="C29" s="3">
        <f t="shared" si="2"/>
        <v>8467.2</v>
      </c>
    </row>
    <row r="30">
      <c r="A30" s="1">
        <v>25.0</v>
      </c>
      <c r="B30" s="3">
        <f t="shared" si="1"/>
        <v>0.002360087</v>
      </c>
      <c r="C30" s="3">
        <f t="shared" si="2"/>
        <v>9570.3125</v>
      </c>
    </row>
    <row r="31">
      <c r="A31" s="1">
        <v>26.0</v>
      </c>
      <c r="B31" s="3">
        <f t="shared" si="1"/>
        <v>0.001610317867</v>
      </c>
      <c r="C31" s="3">
        <f t="shared" si="2"/>
        <v>10765.3</v>
      </c>
    </row>
    <row r="32">
      <c r="A32" s="1">
        <v>27.0</v>
      </c>
      <c r="B32" s="3">
        <f t="shared" si="1"/>
        <v>0.001079130249</v>
      </c>
      <c r="C32" s="3">
        <f t="shared" si="2"/>
        <v>12055.8375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>
        <v>1.225</v>
      </c>
    </row>
    <row r="2">
      <c r="A2" s="1" t="s">
        <v>10</v>
      </c>
      <c r="B2" s="3">
        <f>117</f>
        <v>117</v>
      </c>
    </row>
    <row r="4">
      <c r="A4" s="1" t="s">
        <v>2</v>
      </c>
      <c r="B4" s="1" t="s">
        <v>11</v>
      </c>
      <c r="C4" s="1" t="s">
        <v>12</v>
      </c>
      <c r="D4" s="1" t="s">
        <v>13</v>
      </c>
      <c r="F4" s="1" t="s">
        <v>14</v>
      </c>
      <c r="G4" s="4">
        <f>max(D5:D53)</f>
        <v>0.448902525</v>
      </c>
    </row>
    <row r="5">
      <c r="A5" s="1">
        <v>3.0</v>
      </c>
      <c r="B5" s="1">
        <v>12.0</v>
      </c>
      <c r="C5" s="5">
        <f t="shared" ref="C5:C53" si="1">0.5*B$1*PI()*(B$2/2)^2*A5^3/1000</f>
        <v>177.7998794</v>
      </c>
      <c r="D5" s="4">
        <f t="shared" ref="D5:D53" si="2">B5/C5</f>
        <v>0.06749160933</v>
      </c>
    </row>
    <row r="6">
      <c r="A6" s="1">
        <v>3.5</v>
      </c>
      <c r="B6" s="1">
        <v>65.0</v>
      </c>
      <c r="C6" s="5">
        <f t="shared" si="1"/>
        <v>282.3396233</v>
      </c>
      <c r="D6" s="4">
        <f t="shared" si="2"/>
        <v>0.2302191922</v>
      </c>
    </row>
    <row r="7">
      <c r="A7" s="1">
        <v>4.0</v>
      </c>
      <c r="B7" s="1">
        <v>140.0</v>
      </c>
      <c r="C7" s="5">
        <f t="shared" si="1"/>
        <v>421.451566</v>
      </c>
      <c r="D7" s="4">
        <f t="shared" si="2"/>
        <v>0.3321852647</v>
      </c>
    </row>
    <row r="8">
      <c r="A8" s="1">
        <v>4.5</v>
      </c>
      <c r="B8" s="1">
        <v>230.0</v>
      </c>
      <c r="C8" s="5">
        <f t="shared" si="1"/>
        <v>600.074593</v>
      </c>
      <c r="D8" s="4">
        <f t="shared" si="2"/>
        <v>0.3832856826</v>
      </c>
    </row>
    <row r="9">
      <c r="A9" s="1">
        <v>5.0</v>
      </c>
      <c r="B9" s="1">
        <v>336.0</v>
      </c>
      <c r="C9" s="5">
        <f t="shared" si="1"/>
        <v>823.1475898</v>
      </c>
      <c r="D9" s="4">
        <f t="shared" si="2"/>
        <v>0.4081892533</v>
      </c>
    </row>
    <row r="10">
      <c r="A10" s="1">
        <v>5.5</v>
      </c>
      <c r="B10" s="1">
        <v>460.0</v>
      </c>
      <c r="C10" s="5">
        <f t="shared" si="1"/>
        <v>1095.609442</v>
      </c>
      <c r="D10" s="4">
        <f t="shared" si="2"/>
        <v>0.4198576448</v>
      </c>
    </row>
    <row r="11">
      <c r="A11" s="1">
        <v>6.0</v>
      </c>
      <c r="B11" s="1">
        <v>610.0</v>
      </c>
      <c r="C11" s="5">
        <f t="shared" si="1"/>
        <v>1422.399035</v>
      </c>
      <c r="D11" s="4">
        <f t="shared" si="2"/>
        <v>0.4288529343</v>
      </c>
    </row>
    <row r="12">
      <c r="A12" s="1">
        <v>6.5</v>
      </c>
      <c r="B12" s="1">
        <v>788.0</v>
      </c>
      <c r="C12" s="5">
        <f t="shared" si="1"/>
        <v>1808.455255</v>
      </c>
      <c r="D12" s="4">
        <f t="shared" si="2"/>
        <v>0.4357309908</v>
      </c>
    </row>
    <row r="13">
      <c r="A13" s="1">
        <v>7.0</v>
      </c>
      <c r="B13" s="1">
        <v>996.0</v>
      </c>
      <c r="C13" s="5">
        <f t="shared" si="1"/>
        <v>2258.716986</v>
      </c>
      <c r="D13" s="4">
        <f t="shared" si="2"/>
        <v>0.4409582989</v>
      </c>
    </row>
    <row r="14">
      <c r="A14" s="1">
        <v>7.5</v>
      </c>
      <c r="B14" s="1">
        <v>1236.0</v>
      </c>
      <c r="C14" s="5">
        <f t="shared" si="1"/>
        <v>2778.123116</v>
      </c>
      <c r="D14" s="4">
        <f t="shared" si="2"/>
        <v>0.4449046887</v>
      </c>
    </row>
    <row r="15">
      <c r="A15" s="1">
        <v>8.0</v>
      </c>
      <c r="B15" s="1">
        <v>1507.0</v>
      </c>
      <c r="C15" s="5">
        <f t="shared" si="1"/>
        <v>3371.612528</v>
      </c>
      <c r="D15" s="4">
        <f t="shared" si="2"/>
        <v>0.4469671374</v>
      </c>
    </row>
    <row r="16">
      <c r="A16" s="1">
        <v>8.5</v>
      </c>
      <c r="B16" s="1">
        <v>1814.0</v>
      </c>
      <c r="C16" s="5">
        <f t="shared" si="1"/>
        <v>4044.124109</v>
      </c>
      <c r="D16" s="4">
        <f t="shared" si="2"/>
        <v>0.4485520106</v>
      </c>
    </row>
    <row r="17">
      <c r="A17" s="1">
        <v>9.0</v>
      </c>
      <c r="B17" s="1">
        <v>2155.0</v>
      </c>
      <c r="C17" s="5">
        <f t="shared" si="1"/>
        <v>4800.596744</v>
      </c>
      <c r="D17" s="4">
        <f t="shared" si="2"/>
        <v>0.448902525</v>
      </c>
    </row>
    <row r="18">
      <c r="A18" s="1">
        <v>9.5</v>
      </c>
      <c r="B18" s="1">
        <v>2521.0</v>
      </c>
      <c r="C18" s="5">
        <f t="shared" si="1"/>
        <v>5645.969319</v>
      </c>
      <c r="D18" s="4">
        <f t="shared" si="2"/>
        <v>0.4465132306</v>
      </c>
    </row>
    <row r="19">
      <c r="A19" s="1">
        <v>10.0</v>
      </c>
      <c r="B19" s="1">
        <v>2892.0</v>
      </c>
      <c r="C19" s="5">
        <f t="shared" si="1"/>
        <v>6585.180718</v>
      </c>
      <c r="D19" s="4">
        <f t="shared" si="2"/>
        <v>0.4391679019</v>
      </c>
    </row>
    <row r="20">
      <c r="A20" s="1">
        <v>10.5</v>
      </c>
      <c r="B20" s="1">
        <v>3245.0</v>
      </c>
      <c r="C20" s="5">
        <f t="shared" si="1"/>
        <v>7623.169829</v>
      </c>
      <c r="D20" s="4">
        <f t="shared" si="2"/>
        <v>0.4256759423</v>
      </c>
    </row>
    <row r="21">
      <c r="A21" s="1">
        <v>11.0</v>
      </c>
      <c r="B21" s="1">
        <v>3555.0</v>
      </c>
      <c r="C21" s="5">
        <f t="shared" si="1"/>
        <v>8764.875536</v>
      </c>
      <c r="D21" s="4">
        <f t="shared" si="2"/>
        <v>0.4055961759</v>
      </c>
    </row>
    <row r="22">
      <c r="A22" s="1">
        <v>11.5</v>
      </c>
      <c r="B22" s="1">
        <v>3800.0</v>
      </c>
      <c r="C22" s="5">
        <f t="shared" si="1"/>
        <v>10015.23673</v>
      </c>
      <c r="D22" s="4">
        <f t="shared" si="2"/>
        <v>0.3794218853</v>
      </c>
    </row>
    <row r="23">
      <c r="A23" s="1">
        <v>12.0</v>
      </c>
      <c r="B23" s="1">
        <v>3940.0</v>
      </c>
      <c r="C23" s="5">
        <f t="shared" si="1"/>
        <v>11379.19228</v>
      </c>
      <c r="D23" s="4">
        <f t="shared" si="2"/>
        <v>0.3462460166</v>
      </c>
    </row>
    <row r="24">
      <c r="A24" s="1">
        <v>12.5</v>
      </c>
      <c r="B24" s="1">
        <v>3987.0</v>
      </c>
      <c r="C24" s="5">
        <f t="shared" si="1"/>
        <v>12861.68109</v>
      </c>
      <c r="D24" s="4">
        <f t="shared" si="2"/>
        <v>0.3099905815</v>
      </c>
    </row>
    <row r="25">
      <c r="A25" s="1">
        <v>13.0</v>
      </c>
      <c r="B25" s="1">
        <v>3998.0</v>
      </c>
      <c r="C25" s="5">
        <f t="shared" si="1"/>
        <v>14467.64204</v>
      </c>
      <c r="D25" s="4">
        <f t="shared" si="2"/>
        <v>0.2763408155</v>
      </c>
    </row>
    <row r="26">
      <c r="A26" s="1">
        <v>13.5</v>
      </c>
      <c r="B26" s="1">
        <v>3999.0</v>
      </c>
      <c r="C26" s="5">
        <f t="shared" si="1"/>
        <v>16202.01401</v>
      </c>
      <c r="D26" s="4">
        <f t="shared" si="2"/>
        <v>0.2468211666</v>
      </c>
    </row>
    <row r="27">
      <c r="A27" s="1">
        <v>14.0</v>
      </c>
      <c r="B27" s="1">
        <v>4000.0</v>
      </c>
      <c r="C27" s="5">
        <f t="shared" si="1"/>
        <v>18069.73589</v>
      </c>
      <c r="D27" s="4">
        <f t="shared" si="2"/>
        <v>0.2213646079</v>
      </c>
    </row>
    <row r="28">
      <c r="A28" s="1">
        <v>14.5</v>
      </c>
      <c r="B28" s="1">
        <v>4000.0</v>
      </c>
      <c r="C28" s="5">
        <f t="shared" si="1"/>
        <v>20075.74657</v>
      </c>
      <c r="D28" s="4">
        <f t="shared" si="2"/>
        <v>0.1992453923</v>
      </c>
    </row>
    <row r="29">
      <c r="A29" s="1">
        <v>15.0</v>
      </c>
      <c r="B29" s="1">
        <v>4000.0</v>
      </c>
      <c r="C29" s="5">
        <f t="shared" si="1"/>
        <v>22224.98492</v>
      </c>
      <c r="D29" s="4">
        <f t="shared" si="2"/>
        <v>0.1799776249</v>
      </c>
    </row>
    <row r="30">
      <c r="A30" s="1">
        <v>15.5</v>
      </c>
      <c r="B30" s="1">
        <v>4000.0</v>
      </c>
      <c r="C30" s="5">
        <f t="shared" si="1"/>
        <v>24522.38985</v>
      </c>
      <c r="D30" s="4">
        <f t="shared" si="2"/>
        <v>0.1631162389</v>
      </c>
    </row>
    <row r="31">
      <c r="A31" s="1">
        <v>16.0</v>
      </c>
      <c r="B31" s="1">
        <v>4000.0</v>
      </c>
      <c r="C31" s="5">
        <f t="shared" si="1"/>
        <v>26972.90022</v>
      </c>
      <c r="D31" s="4">
        <f t="shared" si="2"/>
        <v>0.1482969932</v>
      </c>
    </row>
    <row r="32">
      <c r="A32" s="1">
        <v>16.5</v>
      </c>
      <c r="B32" s="1">
        <v>4000.0</v>
      </c>
      <c r="C32" s="5">
        <f t="shared" si="1"/>
        <v>29581.45494</v>
      </c>
      <c r="D32" s="4">
        <f t="shared" si="2"/>
        <v>0.1352198534</v>
      </c>
    </row>
    <row r="33">
      <c r="A33" s="1">
        <v>17.0</v>
      </c>
      <c r="B33" s="1">
        <v>4000.0</v>
      </c>
      <c r="C33" s="5">
        <f t="shared" si="1"/>
        <v>32352.99287</v>
      </c>
      <c r="D33" s="4">
        <f t="shared" si="2"/>
        <v>0.1236361661</v>
      </c>
    </row>
    <row r="34">
      <c r="A34" s="1">
        <v>17.5</v>
      </c>
      <c r="B34" s="1">
        <v>4000.0</v>
      </c>
      <c r="C34" s="5">
        <f t="shared" si="1"/>
        <v>35292.45291</v>
      </c>
      <c r="D34" s="4">
        <f t="shared" si="2"/>
        <v>0.1133386792</v>
      </c>
    </row>
    <row r="35">
      <c r="A35" s="1">
        <v>18.0</v>
      </c>
      <c r="B35" s="1">
        <v>4000.0</v>
      </c>
      <c r="C35" s="5">
        <f t="shared" si="1"/>
        <v>38404.77395</v>
      </c>
      <c r="D35" s="4">
        <f t="shared" si="2"/>
        <v>0.1041537181</v>
      </c>
    </row>
    <row r="36">
      <c r="A36" s="1">
        <v>18.5</v>
      </c>
      <c r="B36" s="1">
        <v>4000.0</v>
      </c>
      <c r="C36" s="5">
        <f t="shared" si="1"/>
        <v>41694.89487</v>
      </c>
      <c r="D36" s="4">
        <f t="shared" si="2"/>
        <v>0.09593500626</v>
      </c>
    </row>
    <row r="37">
      <c r="A37" s="1">
        <v>19.0</v>
      </c>
      <c r="B37" s="1">
        <v>4000.0</v>
      </c>
      <c r="C37" s="5">
        <f t="shared" si="1"/>
        <v>45167.75455</v>
      </c>
      <c r="D37" s="4">
        <f t="shared" si="2"/>
        <v>0.08855875259</v>
      </c>
    </row>
    <row r="38">
      <c r="A38" s="1">
        <v>19.5</v>
      </c>
      <c r="B38" s="1">
        <v>4000.0</v>
      </c>
      <c r="C38" s="5">
        <f t="shared" si="1"/>
        <v>48828.29188</v>
      </c>
      <c r="D38" s="4">
        <f t="shared" si="2"/>
        <v>0.08191972002</v>
      </c>
    </row>
    <row r="39">
      <c r="A39" s="1">
        <v>20.0</v>
      </c>
      <c r="B39" s="1">
        <v>4000.0</v>
      </c>
      <c r="C39" s="5">
        <f t="shared" si="1"/>
        <v>52681.44575</v>
      </c>
      <c r="D39" s="4">
        <f t="shared" si="2"/>
        <v>0.0759280605</v>
      </c>
    </row>
    <row r="40">
      <c r="A40" s="1">
        <v>20.5</v>
      </c>
      <c r="B40" s="1">
        <v>4000.0</v>
      </c>
      <c r="C40" s="5">
        <f t="shared" si="1"/>
        <v>56732.15504</v>
      </c>
      <c r="D40" s="4">
        <f t="shared" si="2"/>
        <v>0.07050675225</v>
      </c>
    </row>
    <row r="41">
      <c r="A41" s="1">
        <v>21.0</v>
      </c>
      <c r="B41" s="1">
        <v>4000.0</v>
      </c>
      <c r="C41" s="5">
        <f t="shared" si="1"/>
        <v>60985.35863</v>
      </c>
      <c r="D41" s="4">
        <f t="shared" si="2"/>
        <v>0.06558951344</v>
      </c>
    </row>
    <row r="42">
      <c r="A42" s="1">
        <v>21.5</v>
      </c>
      <c r="B42" s="1">
        <v>4000.0</v>
      </c>
      <c r="C42" s="5">
        <f t="shared" si="1"/>
        <v>65445.99542</v>
      </c>
      <c r="D42" s="4">
        <f t="shared" si="2"/>
        <v>0.06111909482</v>
      </c>
    </row>
    <row r="43">
      <c r="A43" s="1">
        <v>22.0</v>
      </c>
      <c r="B43" s="1">
        <v>4000.0</v>
      </c>
      <c r="C43" s="5">
        <f t="shared" si="1"/>
        <v>70119.00429</v>
      </c>
      <c r="D43" s="4">
        <f t="shared" si="2"/>
        <v>0.05704587566</v>
      </c>
    </row>
    <row r="44">
      <c r="A44" s="1">
        <v>22.5</v>
      </c>
      <c r="B44" s="1">
        <v>4000.0</v>
      </c>
      <c r="C44" s="5">
        <f t="shared" si="1"/>
        <v>75009.32412</v>
      </c>
      <c r="D44" s="4">
        <f t="shared" si="2"/>
        <v>0.05332670367</v>
      </c>
    </row>
    <row r="45">
      <c r="A45" s="1">
        <v>23.0</v>
      </c>
      <c r="B45" s="1">
        <v>4000.0</v>
      </c>
      <c r="C45" s="5">
        <f t="shared" si="1"/>
        <v>80121.8938</v>
      </c>
      <c r="D45" s="4">
        <f t="shared" si="2"/>
        <v>0.04992393228</v>
      </c>
    </row>
    <row r="46">
      <c r="A46" s="1">
        <v>23.5</v>
      </c>
      <c r="B46" s="1">
        <v>4000.0</v>
      </c>
      <c r="C46" s="5">
        <f t="shared" si="1"/>
        <v>85461.65222</v>
      </c>
      <c r="D46" s="4">
        <f t="shared" si="2"/>
        <v>0.04680461817</v>
      </c>
    </row>
    <row r="47">
      <c r="A47" s="1">
        <v>24.0</v>
      </c>
      <c r="B47" s="1">
        <v>4000.0</v>
      </c>
      <c r="C47" s="5">
        <f t="shared" si="1"/>
        <v>91033.53825</v>
      </c>
      <c r="D47" s="4">
        <f t="shared" si="2"/>
        <v>0.04393984983</v>
      </c>
    </row>
    <row r="48">
      <c r="A48" s="1">
        <v>24.5</v>
      </c>
      <c r="B48" s="1">
        <v>4000.0</v>
      </c>
      <c r="C48" s="5">
        <f t="shared" si="1"/>
        <v>96842.49079</v>
      </c>
      <c r="D48" s="4">
        <f t="shared" si="2"/>
        <v>0.04130418339</v>
      </c>
    </row>
    <row r="49">
      <c r="A49" s="1">
        <v>25.0</v>
      </c>
      <c r="B49" s="1">
        <v>4000.0</v>
      </c>
      <c r="C49" s="5">
        <f t="shared" si="1"/>
        <v>102893.4487</v>
      </c>
      <c r="D49" s="4">
        <f t="shared" si="2"/>
        <v>0.03887516698</v>
      </c>
    </row>
    <row r="50">
      <c r="A50" s="1">
        <v>25.5</v>
      </c>
      <c r="B50" s="1">
        <v>4000.0</v>
      </c>
      <c r="C50" s="5">
        <f t="shared" si="1"/>
        <v>109191.3509</v>
      </c>
      <c r="D50" s="4">
        <f t="shared" si="2"/>
        <v>0.0366329381</v>
      </c>
    </row>
    <row r="51">
      <c r="A51" s="1">
        <v>26.0</v>
      </c>
      <c r="B51" s="1">
        <v>4000.0</v>
      </c>
      <c r="C51" s="5">
        <f t="shared" si="1"/>
        <v>115741.1363</v>
      </c>
      <c r="D51" s="4">
        <f t="shared" si="2"/>
        <v>0.03455988188</v>
      </c>
    </row>
    <row r="52">
      <c r="A52" s="1">
        <v>26.5</v>
      </c>
      <c r="B52" s="1">
        <v>4000.0</v>
      </c>
      <c r="C52" s="5">
        <f t="shared" si="1"/>
        <v>122547.7437</v>
      </c>
      <c r="D52" s="4">
        <f t="shared" si="2"/>
        <v>0.03264033982</v>
      </c>
    </row>
    <row r="53">
      <c r="A53" s="1">
        <v>27.0</v>
      </c>
      <c r="B53" s="1">
        <v>4000.0</v>
      </c>
      <c r="C53" s="5">
        <f t="shared" si="1"/>
        <v>129616.1121</v>
      </c>
      <c r="D53" s="4">
        <f t="shared" si="2"/>
        <v>0.03086036092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'Exercise 1'!A4</f>
        <v>u [m/s]</v>
      </c>
      <c r="B1" s="3" t="str">
        <f>'Exercise 1'!B4</f>
        <v>f [-]</v>
      </c>
      <c r="C1" s="1" t="s">
        <v>15</v>
      </c>
      <c r="D1" s="1" t="s">
        <v>16</v>
      </c>
      <c r="F1" s="1" t="s">
        <v>17</v>
      </c>
      <c r="G1" s="2">
        <f>sum(D2:D29)</f>
        <v>2209.947472</v>
      </c>
      <c r="H1" s="1" t="s">
        <v>18</v>
      </c>
    </row>
    <row r="2">
      <c r="A2" s="3">
        <f>'Exercise 1'!A5</f>
        <v>0</v>
      </c>
      <c r="B2" s="6">
        <f>'Exercise 1'!B5</f>
        <v>0</v>
      </c>
      <c r="C2" s="1">
        <v>0.0</v>
      </c>
      <c r="D2" s="5">
        <f t="shared" ref="D2:D29" si="1">C2*B2</f>
        <v>0</v>
      </c>
      <c r="F2" s="1" t="s">
        <v>19</v>
      </c>
      <c r="G2" s="7">
        <f>G1/max(C2:C29)</f>
        <v>0.5524868679</v>
      </c>
    </row>
    <row r="3">
      <c r="A3" s="3">
        <f>'Exercise 1'!A6</f>
        <v>1</v>
      </c>
      <c r="B3" s="6">
        <f>'Exercise 1'!B6</f>
        <v>0.01639288585</v>
      </c>
      <c r="C3" s="1">
        <v>0.0</v>
      </c>
      <c r="D3" s="5">
        <f t="shared" si="1"/>
        <v>0</v>
      </c>
      <c r="F3" s="1" t="s">
        <v>20</v>
      </c>
      <c r="G3" s="2">
        <f>G1*8760/1000000</f>
        <v>19.35913985</v>
      </c>
      <c r="H3" s="1" t="s">
        <v>21</v>
      </c>
    </row>
    <row r="4">
      <c r="A4" s="3">
        <f>'Exercise 1'!A7</f>
        <v>2</v>
      </c>
      <c r="B4" s="6">
        <f>'Exercise 1'!B7</f>
        <v>0.03198289547</v>
      </c>
      <c r="C4" s="1">
        <v>0.0</v>
      </c>
      <c r="D4" s="5">
        <f t="shared" si="1"/>
        <v>0</v>
      </c>
    </row>
    <row r="5">
      <c r="A5" s="3">
        <f>'Exercise 1'!A8</f>
        <v>3</v>
      </c>
      <c r="B5" s="6">
        <f>'Exercise 1'!B8</f>
        <v>0.04603233284</v>
      </c>
      <c r="C5" s="3">
        <f>vLOOKUP(A5,'Exercise 2'!A5:B52,2,true)</f>
        <v>12</v>
      </c>
      <c r="D5" s="5">
        <f t="shared" si="1"/>
        <v>0.552387994</v>
      </c>
    </row>
    <row r="6">
      <c r="A6" s="3">
        <f>'Exercise 1'!A9</f>
        <v>4</v>
      </c>
      <c r="B6" s="6">
        <f>'Exercise 1'!B9</f>
        <v>0.05792649447</v>
      </c>
      <c r="C6" s="3">
        <f>vLOOKUP(A6,'Exercise 2'!A6:B53,2,true)</f>
        <v>140</v>
      </c>
      <c r="D6" s="5">
        <f t="shared" si="1"/>
        <v>8.109709226</v>
      </c>
    </row>
    <row r="7">
      <c r="A7" s="3">
        <f>'Exercise 1'!A10</f>
        <v>5</v>
      </c>
      <c r="B7" s="6">
        <f>'Exercise 1'!B10</f>
        <v>0.06721781094</v>
      </c>
      <c r="C7" s="3">
        <f>vLOOKUP(A7,'Exercise 2'!A7:B54,2,true)</f>
        <v>336</v>
      </c>
      <c r="D7" s="5">
        <f t="shared" si="1"/>
        <v>22.58518448</v>
      </c>
    </row>
    <row r="8">
      <c r="A8" s="3">
        <f>'Exercise 1'!A11</f>
        <v>6</v>
      </c>
      <c r="B8" s="6">
        <f>'Exercise 1'!B11</f>
        <v>0.07365195758</v>
      </c>
      <c r="C8" s="3">
        <f>vLOOKUP(A8,'Exercise 2'!A8:B55,2,true)</f>
        <v>610</v>
      </c>
      <c r="D8" s="5">
        <f t="shared" si="1"/>
        <v>44.92769412</v>
      </c>
    </row>
    <row r="9">
      <c r="A9" s="3">
        <f>'Exercise 1'!A12</f>
        <v>7</v>
      </c>
      <c r="B9" s="6">
        <f>'Exercise 1'!B12</f>
        <v>0.07717405962</v>
      </c>
      <c r="C9" s="3">
        <f>vLOOKUP(A9,'Exercise 2'!A9:B56,2,true)</f>
        <v>996</v>
      </c>
      <c r="D9" s="5">
        <f t="shared" si="1"/>
        <v>76.86536338</v>
      </c>
    </row>
    <row r="10">
      <c r="A10" s="3">
        <f>'Exercise 1'!A13</f>
        <v>8</v>
      </c>
      <c r="B10" s="6">
        <f>'Exercise 1'!B13</f>
        <v>0.07791572827</v>
      </c>
      <c r="C10" s="3">
        <f>vLOOKUP(A10,'Exercise 2'!A10:B57,2,true)</f>
        <v>1507</v>
      </c>
      <c r="D10" s="5">
        <f t="shared" si="1"/>
        <v>117.4190025</v>
      </c>
    </row>
    <row r="11">
      <c r="A11" s="3">
        <f>'Exercise 1'!A14</f>
        <v>9</v>
      </c>
      <c r="B11" s="6">
        <f>'Exercise 1'!B14</f>
        <v>0.07616598742</v>
      </c>
      <c r="C11" s="3">
        <f>vLOOKUP(A11,'Exercise 2'!A11:B58,2,true)</f>
        <v>2155</v>
      </c>
      <c r="D11" s="5">
        <f t="shared" si="1"/>
        <v>164.1377029</v>
      </c>
    </row>
    <row r="12">
      <c r="A12" s="3">
        <f>'Exercise 1'!A15</f>
        <v>10</v>
      </c>
      <c r="B12" s="6">
        <f>'Exercise 1'!B15</f>
        <v>0.07233084953</v>
      </c>
      <c r="C12" s="3">
        <f>vLOOKUP(A12,'Exercise 2'!A12:B59,2,true)</f>
        <v>2892</v>
      </c>
      <c r="D12" s="5">
        <f t="shared" si="1"/>
        <v>209.1808168</v>
      </c>
    </row>
    <row r="13">
      <c r="A13" s="3">
        <f>'Exercise 1'!A16</f>
        <v>11</v>
      </c>
      <c r="B13" s="6">
        <f>'Exercise 1'!B16</f>
        <v>0.06688717112</v>
      </c>
      <c r="C13" s="3">
        <f>vLOOKUP(A13,'Exercise 2'!A13:B60,2,true)</f>
        <v>3555</v>
      </c>
      <c r="D13" s="5">
        <f t="shared" si="1"/>
        <v>237.7838933</v>
      </c>
    </row>
    <row r="14">
      <c r="A14" s="3">
        <f>'Exercise 1'!A17</f>
        <v>12</v>
      </c>
      <c r="B14" s="6">
        <f>'Exercise 1'!B17</f>
        <v>0.06033642106</v>
      </c>
      <c r="C14" s="3">
        <f>vLOOKUP(A14,'Exercise 2'!A14:B61,2,true)</f>
        <v>3940</v>
      </c>
      <c r="D14" s="5">
        <f t="shared" si="1"/>
        <v>237.725499</v>
      </c>
    </row>
    <row r="15">
      <c r="A15" s="3">
        <f>'Exercise 1'!A18</f>
        <v>13</v>
      </c>
      <c r="B15" s="6">
        <f>'Exercise 1'!B18</f>
        <v>0.05316323343</v>
      </c>
      <c r="C15" s="3">
        <f>vLOOKUP(A15,'Exercise 2'!A15:B62,2,true)</f>
        <v>3998</v>
      </c>
      <c r="D15" s="5">
        <f t="shared" si="1"/>
        <v>212.5466073</v>
      </c>
    </row>
    <row r="16">
      <c r="A16" s="3">
        <f>'Exercise 1'!A19</f>
        <v>14</v>
      </c>
      <c r="B16" s="6">
        <f>'Exercise 1'!B19</f>
        <v>0.04580231029</v>
      </c>
      <c r="C16" s="3">
        <f>vLOOKUP(A16,'Exercise 2'!A16:B63,2,true)</f>
        <v>4000</v>
      </c>
      <c r="D16" s="5">
        <f t="shared" si="1"/>
        <v>183.2092412</v>
      </c>
    </row>
    <row r="17">
      <c r="A17" s="3">
        <f>'Exercise 1'!A20</f>
        <v>15</v>
      </c>
      <c r="B17" s="6">
        <f>'Exercise 1'!B20</f>
        <v>0.03861566344</v>
      </c>
      <c r="C17" s="3">
        <f>vLOOKUP(A17,'Exercise 2'!A17:B64,2,true)</f>
        <v>4000</v>
      </c>
      <c r="D17" s="5">
        <f t="shared" si="1"/>
        <v>154.4626538</v>
      </c>
    </row>
    <row r="18">
      <c r="A18" s="3">
        <f>'Exercise 1'!A21</f>
        <v>16</v>
      </c>
      <c r="B18" s="6">
        <f>'Exercise 1'!B21</f>
        <v>0.03188061538</v>
      </c>
      <c r="C18" s="3">
        <f>vLOOKUP(A18,'Exercise 2'!A18:B65,2,true)</f>
        <v>4000</v>
      </c>
      <c r="D18" s="5">
        <f t="shared" si="1"/>
        <v>127.5224615</v>
      </c>
    </row>
    <row r="19">
      <c r="A19" s="3">
        <f>'Exercise 1'!A22</f>
        <v>17</v>
      </c>
      <c r="B19" s="6">
        <f>'Exercise 1'!B22</f>
        <v>0.02578764512</v>
      </c>
      <c r="C19" s="3">
        <f>vLOOKUP(A19,'Exercise 2'!A19:B66,2,true)</f>
        <v>4000</v>
      </c>
      <c r="D19" s="5">
        <f t="shared" si="1"/>
        <v>103.1505805</v>
      </c>
    </row>
    <row r="20">
      <c r="A20" s="3">
        <f>'Exercise 1'!A23</f>
        <v>18</v>
      </c>
      <c r="B20" s="6">
        <f>'Exercise 1'!B23</f>
        <v>0.02044621381</v>
      </c>
      <c r="C20" s="3">
        <f>vLOOKUP(A20,'Exercise 2'!A20:B67,2,true)</f>
        <v>4000</v>
      </c>
      <c r="D20" s="5">
        <f t="shared" si="1"/>
        <v>81.78485523</v>
      </c>
    </row>
    <row r="21">
      <c r="A21" s="3">
        <f>'Exercise 1'!A24</f>
        <v>19</v>
      </c>
      <c r="B21" s="6">
        <f>'Exercise 1'!B24</f>
        <v>0.01589619574</v>
      </c>
      <c r="C21" s="3">
        <f>vLOOKUP(A21,'Exercise 2'!A21:B68,2,true)</f>
        <v>4000</v>
      </c>
      <c r="D21" s="5">
        <f t="shared" si="1"/>
        <v>63.58478295</v>
      </c>
    </row>
    <row r="22">
      <c r="A22" s="3">
        <f>'Exercise 1'!A25</f>
        <v>20</v>
      </c>
      <c r="B22" s="6">
        <f>'Exercise 1'!B25</f>
        <v>0.01212244949</v>
      </c>
      <c r="C22" s="3">
        <f>vLOOKUP(A22,'Exercise 2'!A22:B69,2,true)</f>
        <v>4000</v>
      </c>
      <c r="D22" s="5">
        <f t="shared" si="1"/>
        <v>48.48979797</v>
      </c>
    </row>
    <row r="23">
      <c r="A23" s="3">
        <f>'Exercise 1'!A26</f>
        <v>21</v>
      </c>
      <c r="B23" s="6">
        <f>'Exercise 1'!B26</f>
        <v>0.00907030828</v>
      </c>
      <c r="C23" s="3">
        <f>vLOOKUP(A23,'Exercise 2'!A23:B70,2,true)</f>
        <v>4000</v>
      </c>
      <c r="D23" s="5">
        <f t="shared" si="1"/>
        <v>36.28123312</v>
      </c>
    </row>
    <row r="24">
      <c r="A24" s="3">
        <f>'Exercise 1'!A27</f>
        <v>22</v>
      </c>
      <c r="B24" s="6">
        <f>'Exercise 1'!B27</f>
        <v>0.006660232323</v>
      </c>
      <c r="C24" s="3">
        <f>vLOOKUP(A24,'Exercise 2'!A24:B71,2,true)</f>
        <v>4000</v>
      </c>
      <c r="D24" s="5">
        <f t="shared" si="1"/>
        <v>26.64092929</v>
      </c>
    </row>
    <row r="25">
      <c r="A25" s="3">
        <f>'Exercise 1'!A28</f>
        <v>23</v>
      </c>
      <c r="B25" s="6">
        <f>'Exercise 1'!B28</f>
        <v>0.00480042907</v>
      </c>
      <c r="C25" s="3">
        <f>vLOOKUP(A25,'Exercise 2'!A25:B72,2,true)</f>
        <v>4000</v>
      </c>
      <c r="D25" s="5">
        <f t="shared" si="1"/>
        <v>19.20171628</v>
      </c>
    </row>
    <row r="26">
      <c r="A26" s="3">
        <f>'Exercise 1'!A29</f>
        <v>24</v>
      </c>
      <c r="B26" s="6">
        <f>'Exercise 1'!B29</f>
        <v>0.003396804599</v>
      </c>
      <c r="C26" s="3">
        <f>vLOOKUP(A26,'Exercise 2'!A26:B73,2,true)</f>
        <v>4000</v>
      </c>
      <c r="D26" s="5">
        <f t="shared" si="1"/>
        <v>13.58721839</v>
      </c>
    </row>
    <row r="27">
      <c r="A27" s="3">
        <f>'Exercise 1'!A30</f>
        <v>25</v>
      </c>
      <c r="B27" s="6">
        <f>'Exercise 1'!B30</f>
        <v>0.002360087</v>
      </c>
      <c r="C27" s="3">
        <f>vLOOKUP(A27,'Exercise 2'!A27:B74,2,true)</f>
        <v>4000</v>
      </c>
      <c r="D27" s="5">
        <f t="shared" si="1"/>
        <v>9.440347999</v>
      </c>
    </row>
    <row r="28">
      <c r="A28" s="3">
        <f>'Exercise 1'!A31</f>
        <v>26</v>
      </c>
      <c r="B28" s="6">
        <f>'Exercise 1'!B31</f>
        <v>0.001610317867</v>
      </c>
      <c r="C28" s="3">
        <f>vLOOKUP(A28,'Exercise 2'!A28:B75,2,true)</f>
        <v>4000</v>
      </c>
      <c r="D28" s="5">
        <f t="shared" si="1"/>
        <v>6.441271468</v>
      </c>
    </row>
    <row r="29">
      <c r="A29" s="3">
        <f>'Exercise 1'!A32</f>
        <v>27</v>
      </c>
      <c r="B29" s="6">
        <f>'Exercise 1'!B32</f>
        <v>0.001079130249</v>
      </c>
      <c r="C29" s="3">
        <f>vLOOKUP(A29,'Exercise 2'!A29:B76,2,true)</f>
        <v>4000</v>
      </c>
      <c r="D29" s="5">
        <f t="shared" si="1"/>
        <v>4.316520995</v>
      </c>
    </row>
  </sheetData>
  <drawing r:id="rId1"/>
</worksheet>
</file>